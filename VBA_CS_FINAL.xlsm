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VBA CS MAIN F\"/>
    </mc:Choice>
  </mc:AlternateContent>
  <xr:revisionPtr revIDLastSave="0" documentId="13_ncr:1_{25529444-4C68-4BD9-B54B-BF2FB5388B00}" xr6:coauthVersionLast="47" xr6:coauthVersionMax="47" xr10:uidLastSave="{00000000-0000-0000-0000-000000000000}"/>
  <bookViews>
    <workbookView xWindow="-108" yWindow="-108" windowWidth="23256" windowHeight="13896" xr2:uid="{0F2A0970-01FB-4EB3-9E19-75179CCC003A}"/>
  </bookViews>
  <sheets>
    <sheet name="Log_In" sheetId="8" r:id="rId1"/>
    <sheet name="SignUp" sheetId="1" r:id="rId2"/>
    <sheet name="Medicine_Section" sheetId="2" r:id="rId3"/>
    <sheet name="Invoice" sheetId="3" r:id="rId4"/>
    <sheet name="Customer" sheetId="4" r:id="rId5"/>
    <sheet name="Print_Out" sheetId="7" r:id="rId6"/>
    <sheet name="Sheet3" sheetId="6" r:id="rId7"/>
  </sheets>
  <functionGroups builtInGroupCount="19"/>
  <definedNames>
    <definedName name="Payment_Method">Sheet3!$A$2:$A$4</definedName>
    <definedName name="_xlnm.Print_Area" localSheetId="3">Invoice!$A$1:$M$3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3" l="1"/>
  <c r="G15" i="7"/>
  <c r="G16" i="7"/>
  <c r="G14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</calcChain>
</file>

<file path=xl/sharedStrings.xml><?xml version="1.0" encoding="utf-8"?>
<sst xmlns="http://schemas.openxmlformats.org/spreadsheetml/2006/main" count="196" uniqueCount="98">
  <si>
    <t>Name</t>
  </si>
  <si>
    <t>User ID</t>
  </si>
  <si>
    <t>Password</t>
  </si>
  <si>
    <t>Email</t>
  </si>
  <si>
    <t>Mobile</t>
  </si>
  <si>
    <t>Ankit Pandey</t>
  </si>
  <si>
    <t>Ankit123</t>
  </si>
  <si>
    <t>Ankit@123456</t>
  </si>
  <si>
    <t>ankitpandey2005k@gmail.com</t>
  </si>
  <si>
    <t>Abhiraj Patil</t>
  </si>
  <si>
    <t>Abhi675</t>
  </si>
  <si>
    <t>Abhiraj@1234</t>
  </si>
  <si>
    <t>abhirajpatil2004b@gmail.com</t>
  </si>
  <si>
    <t>Vineet Poojary</t>
  </si>
  <si>
    <t>Vineet245</t>
  </si>
  <si>
    <t>Vinit@12345</t>
  </si>
  <si>
    <t>vinny@gmail.com</t>
  </si>
  <si>
    <t>Medicine ID</t>
  </si>
  <si>
    <t>Medicine Name</t>
  </si>
  <si>
    <t>Quantity</t>
  </si>
  <si>
    <t>Rate</t>
  </si>
  <si>
    <t>MFG Date</t>
  </si>
  <si>
    <t>Expiry Date</t>
  </si>
  <si>
    <t>Batch</t>
  </si>
  <si>
    <t>Category</t>
  </si>
  <si>
    <t>Amount</t>
  </si>
  <si>
    <t>GST 18%</t>
  </si>
  <si>
    <t>Total Amount</t>
  </si>
  <si>
    <t>Fever</t>
  </si>
  <si>
    <t>abcdfsd</t>
  </si>
  <si>
    <t>bcd</t>
  </si>
  <si>
    <t>Acidity</t>
  </si>
  <si>
    <t>Detol</t>
  </si>
  <si>
    <t>Antiseptic</t>
  </si>
  <si>
    <t>Invoice No</t>
  </si>
  <si>
    <t>bhgf</t>
  </si>
  <si>
    <t>weakness</t>
  </si>
  <si>
    <t>Customer Name</t>
  </si>
  <si>
    <t>Name of items</t>
  </si>
  <si>
    <t>Cust_ID</t>
  </si>
  <si>
    <t>Cust_Name</t>
  </si>
  <si>
    <t>Cust_Email</t>
  </si>
  <si>
    <t>Cust_Address</t>
  </si>
  <si>
    <t>Entry_Date</t>
  </si>
  <si>
    <t>No_of Transaction</t>
  </si>
  <si>
    <t>Selling</t>
  </si>
  <si>
    <t>Txn Date</t>
  </si>
  <si>
    <t>batchno</t>
  </si>
  <si>
    <t>GST18%</t>
  </si>
  <si>
    <t>discount_amount</t>
  </si>
  <si>
    <t>Total amount</t>
  </si>
  <si>
    <t>Payment method</t>
  </si>
  <si>
    <t>Payment_Method</t>
  </si>
  <si>
    <t>Cash Payment</t>
  </si>
  <si>
    <t>Netbanking</t>
  </si>
  <si>
    <t>Credit/Debit Card</t>
  </si>
  <si>
    <t>Goregaon West</t>
  </si>
  <si>
    <t>Amaan</t>
  </si>
  <si>
    <t>Jems123</t>
  </si>
  <si>
    <t>Jems@123</t>
  </si>
  <si>
    <t>amaanpatel038@gmail.com</t>
  </si>
  <si>
    <t>Ankit</t>
  </si>
  <si>
    <t>Invoice No.</t>
  </si>
  <si>
    <t>Date</t>
  </si>
  <si>
    <t>Invoice to:</t>
  </si>
  <si>
    <t>Description</t>
  </si>
  <si>
    <t>Qty</t>
  </si>
  <si>
    <t>Discount</t>
  </si>
  <si>
    <t>Subtotal</t>
  </si>
  <si>
    <t>GST</t>
  </si>
  <si>
    <t>Total</t>
  </si>
  <si>
    <t>Sumedh</t>
  </si>
  <si>
    <t>sumedh123</t>
  </si>
  <si>
    <t>Sumedh@123456</t>
  </si>
  <si>
    <t>kutesumedh388@gmail.com</t>
  </si>
  <si>
    <t>Awesh</t>
  </si>
  <si>
    <t>Awesh123</t>
  </si>
  <si>
    <t>Awesh@123456</t>
  </si>
  <si>
    <t>awesh@gmail.com</t>
  </si>
  <si>
    <t>Sumedh Kute</t>
  </si>
  <si>
    <t>sumedh@gmail.com</t>
  </si>
  <si>
    <t>Panvel</t>
  </si>
  <si>
    <t>bcd,Detol</t>
  </si>
  <si>
    <t>1,2</t>
  </si>
  <si>
    <t>40,78</t>
  </si>
  <si>
    <t>2024-11qw-13</t>
  </si>
  <si>
    <t xml:space="preserve"> </t>
  </si>
  <si>
    <t>Shop Details</t>
  </si>
  <si>
    <t>Shop No. 3,Jublee Road,F.U Road,Versova</t>
  </si>
  <si>
    <t>Andheri West, Mumbai</t>
  </si>
  <si>
    <t>Payment Method</t>
  </si>
  <si>
    <t>Invoice</t>
  </si>
  <si>
    <t>1,1</t>
  </si>
  <si>
    <t>2,1</t>
  </si>
  <si>
    <t>Detol,bcd</t>
  </si>
  <si>
    <t>78,40</t>
  </si>
  <si>
    <t>sum123</t>
  </si>
  <si>
    <t>kute@388gmail.com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</si>
</sst>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1" fillId="3" borderId="2" xfId="0" applyFont="1" applyFill="1" applyBorder="1"/>
    <xf numFmtId="1" fontId="0" fillId="0" borderId="0" xfId="0" applyNumberFormat="1"/>
    <xf numFmtId="0" fontId="5" fillId="5" borderId="0" xfId="0" applyFont="1" applyFill="1"/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0" fontId="0" fillId="0" borderId="8" xfId="0" applyBorder="1"/>
    <xf numFmtId="0" fontId="4" fillId="5" borderId="0" xfId="0" applyFont="1" applyFill="1"/>
    <xf numFmtId="0" fontId="4" fillId="4" borderId="9" xfId="0" applyFont="1" applyFill="1" applyBorder="1"/>
    <xf numFmtId="0" fontId="4" fillId="4" borderId="12" xfId="0" applyFont="1" applyFill="1" applyBorder="1"/>
    <xf numFmtId="0" fontId="3" fillId="0" borderId="0" xfId="0" applyFont="1" applyAlignment="1">
      <alignment horizontal="center"/>
    </xf>
    <xf numFmtId="0" fontId="1" fillId="2" borderId="20" xfId="0" applyFont="1" applyFill="1" applyBorder="1"/>
    <xf numFmtId="0" fontId="7" fillId="0" borderId="0" xfId="0" applyFont="1"/>
    <xf numFmtId="0" fontId="8" fillId="4" borderId="18" xfId="0" applyFont="1" applyFill="1" applyBorder="1"/>
    <xf numFmtId="0" fontId="8" fillId="4" borderId="18" xfId="0" applyFont="1" applyFill="1" applyBorder="1"/>
    <xf numFmtId="0" fontId="8" fillId="4" borderId="19" xfId="0" applyFont="1" applyFill="1" applyBorder="1"/>
    <xf numFmtId="0" fontId="1" fillId="0" borderId="0" xfId="0" applyFont="1"/>
    <xf numFmtId="0" fontId="1" fillId="0" borderId="0" xfId="0" applyFont="1" applyAlignment="1">
      <alignment horizontal="left"/>
    </xf>
    <xf numFmtId="0" fontId="2" fillId="7" borderId="0" xfId="0" applyFont="1" applyFill="1"/>
    <xf numFmtId="0" fontId="7" fillId="0" borderId="0" xfId="0" applyFont="1"/>
    <xf numFmtId="0" fontId="0" fillId="0" borderId="7" xfId="0" applyBorder="1"/>
    <xf numFmtId="0" fontId="0" fillId="0" borderId="8" xfId="0" applyBorder="1"/>
    <xf numFmtId="0" fontId="0" fillId="0" borderId="0" xfId="0"/>
    <xf numFmtId="0" fontId="6" fillId="6" borderId="0" xfId="0" applyFont="1" applyFill="1"/>
    <xf numFmtId="0" fontId="8" fillId="4" borderId="17" xfId="0" applyFont="1" applyFill="1" applyBorder="1"/>
    <xf numFmtId="0" fontId="7" fillId="0" borderId="5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6" xfId="0" applyFont="1" applyBorder="1"/>
    <xf numFmtId="0" fontId="3" fillId="0" borderId="0" xfId="0" applyFont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14" fontId="7" fillId="0" borderId="13" xfId="0" applyNumberFormat="1" applyFont="1" applyBorder="1"/>
    <xf numFmtId="0" fontId="7" fillId="0" borderId="14" xfId="0" applyFont="1" applyBorder="1"/>
    <xf numFmtId="14" fontId="0" fillId="0" borderId="0" xfId="0" applyNumberFormat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left"/>
    </xf>
    <xf numFmtId="0" fontId="7" fillId="0" borderId="6" xfId="0" applyFont="1" applyBorder="1" applyAlignment="1">
      <alignment horizontal="left"/>
    </xf>
  </cellXfs>
  <cellStyles count="1">
    <cellStyle name="Normal" xfId="0" builtinId="0"/>
  </cellStyles>
  <dxfs count="10">
    <dxf>
      <numFmt numFmtId="164" formatCode="dd/mm/yyyy"/>
    </dxf>
    <dxf>
      <fill>
        <patternFill patternType="solid">
          <fgColor indexed="64"/>
          <bgColor rgb="FF92D050"/>
        </patternFill>
      </fill>
    </dxf>
    <dxf>
      <numFmt numFmtId="164" formatCode="dd/mm/yyyy"/>
    </dxf>
    <dxf>
      <fill>
        <patternFill patternType="solid">
          <fgColor indexed="64"/>
          <bgColor rgb="FF00B0F0"/>
        </patternFill>
      </fill>
    </dxf>
    <dxf>
      <numFmt numFmtId="164" formatCode="dd/mm/yyyy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594360</xdr:colOff>
      <xdr:row>2</xdr:row>
      <xdr:rowOff>83820</xdr:rowOff>
    </xdr:from>
    <xdr:to>
      <xdr:col>7</xdr:col>
      <xdr:colOff>312420</xdr:colOff>
      <xdr:row>5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E7FA9C-8185-94DB-F288-0F529874D1BE}"/>
            </a:ext>
          </a:extLst>
        </xdr:cNvPr>
        <xdr:cNvSpPr/>
      </xdr:nvSpPr>
      <xdr:spPr>
        <a:xfrm>
          <a:off x="2423160" y="449580"/>
          <a:ext cx="2156460" cy="63246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>
              <a:solidFill>
                <a:schemeClr val="accent4">
                  <a:lumMod val="60000"/>
                  <a:lumOff val="40000"/>
                </a:schemeClr>
              </a:solidFill>
            </a:rPr>
            <a:t>Log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60960</xdr:rowOff>
    </xdr:from>
    <xdr:to>
      <xdr:col>3</xdr:col>
      <xdr:colOff>175451</xdr:colOff>
      <xdr:row>1</xdr:row>
      <xdr:rowOff>129539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889DB3-BE62-A12A-BBDA-9A75F315B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" y="60960"/>
          <a:ext cx="2202371" cy="55625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AB1E1A-6AC6-4B18-BAFD-34195D9EDDC6}" name="Worker" displayName="Worker" ref="A1:E8" totalsRowShown="0" headerRowDxfId="9" headerRowBorderDxfId="8" tableBorderDxfId="7">
  <autoFilter ref="A1:E8" xr:uid="{EFAB1E1A-6AC6-4B18-BAFD-34195D9EDDC6}"/>
  <tableColumns count="5">
    <tableColumn id="1" xr3:uid="{2DFE4899-96B2-48E6-BF8F-FC370E716B0B}" name="Name"/>
    <tableColumn id="2" xr3:uid="{080D95F4-487B-4E5E-9742-B89029EDDD21}" name="User ID"/>
    <tableColumn id="3" xr3:uid="{2F34894A-CAB9-4C13-A2D3-0FD524B1746A}" name="Password"/>
    <tableColumn id="4" xr3:uid="{8578CA65-7104-4304-8D67-8DECBEF84942}" name="Mobile"/>
    <tableColumn id="5" xr3:uid="{942F457E-FDC3-42AC-BA47-8EC7BD1CEBBA}" name="Emai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C685FA-137A-42DE-A232-048A24AA9360}" name="Medicine" displayName="Medicine" ref="A1:L5" totalsRowShown="0" headerRowDxfId="6">
  <autoFilter ref="A1:L5" xr:uid="{FBC685FA-137A-42DE-A232-048A24AA9360}"/>
  <tableColumns count="12">
    <tableColumn id="1" xr3:uid="{900CF2A0-FC37-4C78-B6D3-129829453995}" name="Medicine ID"/>
    <tableColumn id="2" xr3:uid="{0FA366F2-FE92-4658-AB71-E39DD94A81F4}" name="Medicine Name"/>
    <tableColumn id="3" xr3:uid="{5D30B163-9A2C-4ECD-B1EB-220346068357}" name="Quantity"/>
    <tableColumn id="4" xr3:uid="{FF832C03-6DC2-40C3-886C-1746901EA16A}" name="Rate"/>
    <tableColumn id="5" xr3:uid="{13B43F8D-3DFF-401E-AFDA-A7A7E8BC7A90}" name="MFG Date" dataDxfId="5"/>
    <tableColumn id="6" xr3:uid="{9585A23E-DE1C-4287-B6C4-839C61D9AD3D}" name="Expiry Date" dataDxfId="4"/>
    <tableColumn id="7" xr3:uid="{59A6952D-AEB5-47BC-93F7-3C945677476B}" name="Batch"/>
    <tableColumn id="8" xr3:uid="{BC226BBE-2D04-437A-8A5B-63ED832DA5E0}" name="Category"/>
    <tableColumn id="9" xr3:uid="{C5BCF696-A55F-4CA1-99C7-3FC8A58239DB}" name="Amount"/>
    <tableColumn id="10" xr3:uid="{3D28F341-AA24-46A9-8471-C06EEC450143}" name="GST 18%"/>
    <tableColumn id="11" xr3:uid="{B557C579-7A4E-4BCC-BE13-9529AD48CE4E}" name="Total Amount"/>
    <tableColumn id="12" xr3:uid="{B6D5659E-207F-41B1-B790-7F31D903379B}" name="Sell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AC89D-F2CE-40DF-9057-F95E07E7C488}" name="Invoice" displayName="Invoice" ref="A1:M26" totalsRowShown="0" headerRowDxfId="3">
  <autoFilter ref="A1:M26" xr:uid="{318AC89D-F2CE-40DF-9057-F95E07E7C488}"/>
  <tableColumns count="13">
    <tableColumn id="1" xr3:uid="{154955CD-8C57-4F43-869A-D659F30F4F9C}" name="Invoice No"/>
    <tableColumn id="2" xr3:uid="{F67A7814-201D-445F-AF25-3642137A1668}" name="Customer Name"/>
    <tableColumn id="3" xr3:uid="{F2EEECC5-2DD6-43E9-B3C3-283690934467}" name="Name of items"/>
    <tableColumn id="4" xr3:uid="{CE2FE735-B109-4E4D-B756-431E7A5B743F}" name="Quantity"/>
    <tableColumn id="5" xr3:uid="{30474FD7-EA93-4606-A35B-B818EAC719C3}" name="Rate"/>
    <tableColumn id="6" xr3:uid="{D16DB6F9-ACD9-4588-8632-E696C576DBE7}" name="Mobile"/>
    <tableColumn id="7" xr3:uid="{1B0B5A3E-DDA7-4E1E-9237-1D4760C86982}" name="Txn Date" dataDxfId="2"/>
    <tableColumn id="8" xr3:uid="{C8E2D9F2-0D9A-4D11-AC6A-4D53F2AABA9B}" name="batchno"/>
    <tableColumn id="9" xr3:uid="{A540327F-730A-4E31-BC1B-8E21B03D429A}" name="Amount"/>
    <tableColumn id="10" xr3:uid="{D8B2410C-5AB7-4259-AC9E-56580DBE595C}" name="GST18%"/>
    <tableColumn id="11" xr3:uid="{AEBD5DD3-2FE2-423C-9D0D-B548084168BC}" name="discount_amount"/>
    <tableColumn id="12" xr3:uid="{40422D51-B468-43FE-B843-0AF45C0C8EF1}" name="Total amount"/>
    <tableColumn id="13" xr3:uid="{E2B94A6C-D6C9-4312-B813-4CBFA46F91C2}" name="Payment metho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4CEBF3-D143-4445-89FA-799C6C336D79}" name="Customer" displayName="Customer" ref="A1:G4" totalsRowShown="0" headerRowDxfId="1">
  <autoFilter ref="A1:G4" xr:uid="{BD4CEBF3-D143-4445-89FA-799C6C336D79}"/>
  <tableColumns count="7">
    <tableColumn id="1" xr3:uid="{AACAC8D0-157E-463F-9D1F-C5805E2F4992}" name="Cust_ID"/>
    <tableColumn id="2" xr3:uid="{4E122767-75AE-46E2-B0B5-1C44C1612DFC}" name="Cust_Name"/>
    <tableColumn id="3" xr3:uid="{31DDF9DB-ED63-457B-9F89-45C1EB2F28CF}" name="Mobile"/>
    <tableColumn id="4" xr3:uid="{AD992643-061E-4204-89DD-186D48E4872E}" name="Cust_Email"/>
    <tableColumn id="5" xr3:uid="{49419CD7-9B40-4DB1-8991-A916BF2FFBA2}" name="Cust_Address"/>
    <tableColumn id="6" xr3:uid="{59151A9E-8D59-4C78-AA0D-83C65D22FA64}" name="Entry_Date" dataDxfId="0"/>
    <tableColumn id="7" xr3:uid="{558E984D-2DE1-4457-B914-FE5B3C9E4128}" name="No_of Transa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9DC0-5C0A-4A4E-958C-47D222793A8D}">
  <sheetPr codeName="Sheet7"/>
  <dimension ref="A1"/>
  <sheetViews>
    <sheetView tabSelected="1" workbookViewId="0">
      <selection activeCell="L11" sqref="L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11B6D-17C7-4F7B-9C74-3DCA12C6A1C2}">
  <sheetPr codeName="Sheet1">
    <tabColor rgb="FFF4B084"/>
  </sheetPr>
  <dimension ref="A1:E8"/>
  <sheetViews>
    <sheetView workbookViewId="0">
      <selection activeCell="B2" sqref="B2"/>
    </sheetView>
  </sheetViews>
  <sheetFormatPr defaultRowHeight="14.4" x14ac:dyDescent="0.3"/>
  <cols>
    <col min="1" max="1" width="14.33203125" bestFit="1" customWidth="1"/>
    <col min="2" max="2" width="10.33203125" bestFit="1" customWidth="1"/>
    <col min="3" max="3" width="15.33203125" bestFit="1" customWidth="1"/>
    <col min="4" max="4" width="11" bestFit="1" customWidth="1"/>
    <col min="5" max="5" width="28.5546875" bestFit="1" customWidth="1"/>
  </cols>
  <sheetData>
    <row r="1" spans="1:5" x14ac:dyDescent="0.3">
      <c r="A1" s="14" t="s">
        <v>0</v>
      </c>
      <c r="B1" s="14" t="s">
        <v>1</v>
      </c>
      <c r="C1" s="14" t="s">
        <v>2</v>
      </c>
      <c r="D1" s="14" t="s">
        <v>4</v>
      </c>
      <c r="E1" s="14" t="s">
        <v>3</v>
      </c>
    </row>
    <row r="2" spans="1:5" x14ac:dyDescent="0.3">
      <c r="A2" t="s">
        <v>5</v>
      </c>
      <c r="B2" t="s">
        <v>6</v>
      </c>
      <c r="C2" t="s">
        <v>7</v>
      </c>
      <c r="D2">
        <v>7070981302</v>
      </c>
      <c r="E2" t="s">
        <v>8</v>
      </c>
    </row>
    <row r="3" spans="1:5" x14ac:dyDescent="0.3">
      <c r="A3" t="s">
        <v>9</v>
      </c>
      <c r="B3" t="s">
        <v>10</v>
      </c>
      <c r="C3" t="s">
        <v>11</v>
      </c>
      <c r="D3">
        <v>7070981302</v>
      </c>
      <c r="E3" t="s">
        <v>12</v>
      </c>
    </row>
    <row r="4" spans="1:5" x14ac:dyDescent="0.3">
      <c r="A4" t="s">
        <v>13</v>
      </c>
      <c r="B4" t="s">
        <v>14</v>
      </c>
      <c r="C4" t="s">
        <v>15</v>
      </c>
      <c r="D4">
        <v>8591275316</v>
      </c>
      <c r="E4" t="s">
        <v>16</v>
      </c>
    </row>
    <row r="5" spans="1:5" x14ac:dyDescent="0.3">
      <c r="A5" t="s">
        <v>57</v>
      </c>
      <c r="B5" t="s">
        <v>58</v>
      </c>
      <c r="C5" t="s">
        <v>59</v>
      </c>
      <c r="D5">
        <v>9619664108</v>
      </c>
      <c r="E5" t="s">
        <v>60</v>
      </c>
    </row>
    <row r="6" spans="1:5" x14ac:dyDescent="0.3">
      <c r="A6" t="s">
        <v>71</v>
      </c>
      <c r="B6" t="s">
        <v>72</v>
      </c>
      <c r="C6" t="s">
        <v>73</v>
      </c>
      <c r="D6">
        <v>7208035956</v>
      </c>
      <c r="E6" t="s">
        <v>74</v>
      </c>
    </row>
    <row r="7" spans="1:5" x14ac:dyDescent="0.3">
      <c r="A7" t="s">
        <v>75</v>
      </c>
      <c r="B7" t="s">
        <v>76</v>
      </c>
      <c r="C7" t="s">
        <v>77</v>
      </c>
      <c r="D7">
        <v>5467812345</v>
      </c>
      <c r="E7" t="s">
        <v>78</v>
      </c>
    </row>
    <row r="8" spans="1:5" x14ac:dyDescent="0.3">
      <c r="A8" t="s">
        <v>71</v>
      </c>
      <c r="B8" t="s">
        <v>96</v>
      </c>
      <c r="C8" t="s">
        <v>73</v>
      </c>
      <c r="D8">
        <v>2930204939</v>
      </c>
      <c r="E8" t="s">
        <v>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1384D-A578-4B5D-A30B-A6FBB4BFA4C0}">
  <sheetPr codeName="Sheet2">
    <tabColor theme="9" tint="0.39997558519241921"/>
  </sheetPr>
  <dimension ref="A1:L5"/>
  <sheetViews>
    <sheetView workbookViewId="0">
      <selection activeCell="R9" sqref="R9"/>
    </sheetView>
  </sheetViews>
  <sheetFormatPr defaultRowHeight="14.4" x14ac:dyDescent="0.3"/>
  <cols>
    <col min="1" max="1" width="12.88671875" customWidth="1"/>
    <col min="2" max="2" width="16.109375" customWidth="1"/>
    <col min="3" max="3" width="10.33203125" customWidth="1"/>
    <col min="5" max="5" width="11.109375" customWidth="1"/>
    <col min="6" max="6" width="12.33203125" customWidth="1"/>
    <col min="8" max="8" width="10.44140625" customWidth="1"/>
    <col min="9" max="9" width="9.6640625" customWidth="1"/>
    <col min="10" max="10" width="10" customWidth="1"/>
    <col min="11" max="11" width="14.44140625" customWidth="1"/>
  </cols>
  <sheetData>
    <row r="1" spans="1:12" x14ac:dyDescent="0.3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  <c r="K1" s="1" t="s">
        <v>27</v>
      </c>
      <c r="L1" s="3" t="s">
        <v>45</v>
      </c>
    </row>
    <row r="2" spans="1:12" x14ac:dyDescent="0.3">
      <c r="A2">
        <v>1112</v>
      </c>
      <c r="B2" t="s">
        <v>29</v>
      </c>
      <c r="C2">
        <v>50</v>
      </c>
      <c r="D2">
        <v>75</v>
      </c>
      <c r="E2" s="2">
        <v>44997</v>
      </c>
      <c r="F2" s="2">
        <v>45728</v>
      </c>
      <c r="G2">
        <v>15</v>
      </c>
      <c r="H2" t="s">
        <v>28</v>
      </c>
      <c r="I2">
        <v>3750</v>
      </c>
      <c r="J2">
        <v>675</v>
      </c>
      <c r="K2">
        <v>4425</v>
      </c>
      <c r="L2">
        <v>80</v>
      </c>
    </row>
    <row r="3" spans="1:12" x14ac:dyDescent="0.3">
      <c r="A3">
        <v>110</v>
      </c>
      <c r="B3" t="s">
        <v>30</v>
      </c>
      <c r="C3">
        <v>32</v>
      </c>
      <c r="D3">
        <v>40</v>
      </c>
      <c r="E3" s="2">
        <v>44951</v>
      </c>
      <c r="F3" s="2">
        <v>45792</v>
      </c>
      <c r="G3">
        <v>13</v>
      </c>
      <c r="H3" t="s">
        <v>31</v>
      </c>
      <c r="I3">
        <v>1280</v>
      </c>
      <c r="J3">
        <v>230.39999999999998</v>
      </c>
      <c r="K3">
        <v>1510.4</v>
      </c>
      <c r="L3">
        <v>40</v>
      </c>
    </row>
    <row r="4" spans="1:12" x14ac:dyDescent="0.3">
      <c r="A4">
        <v>213</v>
      </c>
      <c r="B4" t="s">
        <v>32</v>
      </c>
      <c r="C4">
        <v>54</v>
      </c>
      <c r="D4">
        <v>45</v>
      </c>
      <c r="E4" s="2">
        <v>45303</v>
      </c>
      <c r="F4" s="2">
        <v>46555</v>
      </c>
      <c r="G4">
        <v>19</v>
      </c>
      <c r="H4" t="s">
        <v>33</v>
      </c>
      <c r="I4">
        <v>2430</v>
      </c>
      <c r="J4">
        <v>437.4</v>
      </c>
      <c r="K4">
        <v>2867.4</v>
      </c>
      <c r="L4">
        <v>78</v>
      </c>
    </row>
    <row r="5" spans="1:12" x14ac:dyDescent="0.3">
      <c r="A5">
        <v>1234</v>
      </c>
      <c r="B5" t="s">
        <v>35</v>
      </c>
      <c r="C5">
        <v>67</v>
      </c>
      <c r="D5">
        <v>43</v>
      </c>
      <c r="E5" s="2">
        <v>45100</v>
      </c>
      <c r="F5" s="2">
        <v>46277</v>
      </c>
      <c r="G5">
        <v>20</v>
      </c>
      <c r="H5" t="s">
        <v>36</v>
      </c>
      <c r="I5">
        <v>2881</v>
      </c>
      <c r="J5">
        <v>518.57999999999993</v>
      </c>
      <c r="K5">
        <v>3399.58</v>
      </c>
      <c r="L5">
        <v>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6AA7-9972-4072-944A-AF00B5DB7F4E}">
  <sheetPr codeName="Sheet3">
    <tabColor rgb="FF00B0F0"/>
  </sheetPr>
  <dimension ref="A1:M31"/>
  <sheetViews>
    <sheetView topLeftCell="A4" workbookViewId="0">
      <selection activeCell="A26" sqref="A26"/>
    </sheetView>
  </sheetViews>
  <sheetFormatPr defaultRowHeight="14.4" x14ac:dyDescent="0.3"/>
  <cols>
    <col min="1" max="1" width="11.88671875" customWidth="1"/>
    <col min="2" max="2" width="16.44140625" customWidth="1"/>
    <col min="3" max="3" width="25.44140625" bestFit="1" customWidth="1"/>
    <col min="4" max="4" width="13.33203125" bestFit="1" customWidth="1"/>
    <col min="6" max="6" width="11" bestFit="1" customWidth="1"/>
    <col min="7" max="7" width="10.6640625" bestFit="1" customWidth="1"/>
    <col min="8" max="8" width="9.88671875" customWidth="1"/>
    <col min="9" max="9" width="9.6640625" customWidth="1"/>
    <col min="10" max="10" width="9.5546875" customWidth="1"/>
    <col min="11" max="11" width="17.6640625" customWidth="1"/>
    <col min="12" max="12" width="14.33203125" customWidth="1"/>
    <col min="13" max="13" width="17.5546875" customWidth="1"/>
  </cols>
  <sheetData>
    <row r="1" spans="1:13" x14ac:dyDescent="0.3">
      <c r="A1" s="6" t="s">
        <v>34</v>
      </c>
      <c r="B1" s="6" t="s">
        <v>37</v>
      </c>
      <c r="C1" s="6" t="s">
        <v>38</v>
      </c>
      <c r="D1" s="6" t="s">
        <v>19</v>
      </c>
      <c r="E1" s="6" t="s">
        <v>20</v>
      </c>
      <c r="F1" s="6" t="s">
        <v>4</v>
      </c>
      <c r="G1" s="6" t="s">
        <v>46</v>
      </c>
      <c r="H1" s="6" t="s">
        <v>47</v>
      </c>
      <c r="I1" s="6" t="s">
        <v>25</v>
      </c>
      <c r="J1" s="6" t="s">
        <v>48</v>
      </c>
      <c r="K1" s="6" t="s">
        <v>49</v>
      </c>
      <c r="L1" s="6" t="s">
        <v>50</v>
      </c>
      <c r="M1" s="6" t="s">
        <v>51</v>
      </c>
    </row>
    <row r="2" spans="1:13" x14ac:dyDescent="0.3">
      <c r="A2">
        <v>1</v>
      </c>
      <c r="B2" t="s">
        <v>61</v>
      </c>
      <c r="C2" t="s">
        <v>30</v>
      </c>
      <c r="D2">
        <v>20</v>
      </c>
      <c r="E2">
        <v>40</v>
      </c>
      <c r="F2">
        <v>707981302</v>
      </c>
      <c r="G2" s="2">
        <v>45370</v>
      </c>
      <c r="H2">
        <v>13</v>
      </c>
      <c r="I2">
        <v>800</v>
      </c>
      <c r="J2">
        <v>144</v>
      </c>
      <c r="K2">
        <v>0</v>
      </c>
      <c r="L2">
        <v>944</v>
      </c>
      <c r="M2" t="s">
        <v>53</v>
      </c>
    </row>
    <row r="3" spans="1:13" x14ac:dyDescent="0.3">
      <c r="A3">
        <v>2</v>
      </c>
      <c r="B3" t="s">
        <v>61</v>
      </c>
      <c r="C3" t="s">
        <v>86</v>
      </c>
      <c r="D3">
        <v>69</v>
      </c>
      <c r="E3">
        <v>40</v>
      </c>
      <c r="F3">
        <v>707981302</v>
      </c>
      <c r="G3" s="2">
        <v>45370</v>
      </c>
      <c r="H3">
        <v>13</v>
      </c>
      <c r="I3">
        <v>2760</v>
      </c>
      <c r="J3">
        <v>496.8</v>
      </c>
      <c r="K3">
        <v>0</v>
      </c>
      <c r="L3">
        <v>3256.8</v>
      </c>
      <c r="M3" t="s">
        <v>53</v>
      </c>
    </row>
    <row r="4" spans="1:13" x14ac:dyDescent="0.3">
      <c r="A4">
        <v>3</v>
      </c>
      <c r="B4" t="s">
        <v>61</v>
      </c>
      <c r="C4" t="s">
        <v>86</v>
      </c>
      <c r="D4">
        <v>7</v>
      </c>
      <c r="E4">
        <v>40</v>
      </c>
      <c r="F4">
        <v>707981302</v>
      </c>
      <c r="G4" s="2">
        <v>45398</v>
      </c>
      <c r="H4">
        <v>13</v>
      </c>
      <c r="I4">
        <v>280</v>
      </c>
      <c r="J4">
        <v>50.4</v>
      </c>
      <c r="K4">
        <v>0</v>
      </c>
      <c r="L4">
        <v>330.4</v>
      </c>
      <c r="M4" t="s">
        <v>53</v>
      </c>
    </row>
    <row r="5" spans="1:13" x14ac:dyDescent="0.3">
      <c r="A5">
        <v>4</v>
      </c>
      <c r="B5" t="s">
        <v>61</v>
      </c>
      <c r="C5" t="s">
        <v>30</v>
      </c>
      <c r="D5">
        <v>34</v>
      </c>
      <c r="E5">
        <v>40</v>
      </c>
      <c r="F5">
        <v>707981302</v>
      </c>
      <c r="G5" s="2">
        <v>45431</v>
      </c>
      <c r="H5">
        <v>13</v>
      </c>
      <c r="I5">
        <v>1360</v>
      </c>
      <c r="J5">
        <v>244.8</v>
      </c>
      <c r="K5">
        <v>0</v>
      </c>
      <c r="L5">
        <v>1604.8</v>
      </c>
      <c r="M5" t="s">
        <v>53</v>
      </c>
    </row>
    <row r="6" spans="1:13" x14ac:dyDescent="0.3">
      <c r="A6">
        <v>5</v>
      </c>
      <c r="B6" t="s">
        <v>61</v>
      </c>
      <c r="C6" t="s">
        <v>32</v>
      </c>
      <c r="D6">
        <v>32</v>
      </c>
      <c r="E6">
        <v>78</v>
      </c>
      <c r="F6">
        <v>707981302</v>
      </c>
      <c r="G6" s="2">
        <v>45366</v>
      </c>
      <c r="H6">
        <v>19</v>
      </c>
      <c r="I6">
        <v>2496</v>
      </c>
      <c r="J6">
        <v>449.28</v>
      </c>
      <c r="K6">
        <v>0</v>
      </c>
      <c r="L6">
        <v>2945.28</v>
      </c>
      <c r="M6" t="s">
        <v>53</v>
      </c>
    </row>
    <row r="7" spans="1:13" x14ac:dyDescent="0.3">
      <c r="A7">
        <v>6</v>
      </c>
      <c r="B7" t="s">
        <v>61</v>
      </c>
      <c r="C7" t="s">
        <v>32</v>
      </c>
      <c r="D7">
        <v>12</v>
      </c>
      <c r="E7">
        <v>78</v>
      </c>
      <c r="F7">
        <v>707981302</v>
      </c>
      <c r="G7" s="2">
        <v>45362</v>
      </c>
      <c r="H7">
        <v>19</v>
      </c>
      <c r="I7">
        <v>936</v>
      </c>
      <c r="J7">
        <v>168.48</v>
      </c>
      <c r="K7">
        <v>0</v>
      </c>
      <c r="L7">
        <v>1104.48</v>
      </c>
      <c r="M7" t="s">
        <v>53</v>
      </c>
    </row>
    <row r="8" spans="1:13" x14ac:dyDescent="0.3">
      <c r="A8">
        <v>7</v>
      </c>
      <c r="B8" t="s">
        <v>61</v>
      </c>
      <c r="C8" t="s">
        <v>82</v>
      </c>
      <c r="D8" t="s">
        <v>83</v>
      </c>
      <c r="E8" t="s">
        <v>84</v>
      </c>
      <c r="F8">
        <v>7070981302</v>
      </c>
      <c r="G8" s="2">
        <v>45372</v>
      </c>
      <c r="I8">
        <v>196</v>
      </c>
      <c r="J8">
        <v>35.28</v>
      </c>
      <c r="K8">
        <v>0</v>
      </c>
      <c r="L8">
        <v>231.28</v>
      </c>
      <c r="M8" t="s">
        <v>53</v>
      </c>
    </row>
    <row r="9" spans="1:13" x14ac:dyDescent="0.3">
      <c r="A9">
        <v>8</v>
      </c>
      <c r="B9" t="s">
        <v>61</v>
      </c>
      <c r="C9" t="s">
        <v>30</v>
      </c>
      <c r="D9">
        <v>1</v>
      </c>
      <c r="E9">
        <v>40</v>
      </c>
      <c r="F9">
        <v>7070981302</v>
      </c>
      <c r="G9" s="2">
        <v>45638</v>
      </c>
      <c r="I9">
        <v>40</v>
      </c>
      <c r="J9">
        <v>7.2</v>
      </c>
      <c r="K9">
        <v>0</v>
      </c>
      <c r="L9">
        <v>47.2</v>
      </c>
      <c r="M9" t="s">
        <v>53</v>
      </c>
    </row>
    <row r="10" spans="1:13" x14ac:dyDescent="0.3">
      <c r="A10">
        <v>9</v>
      </c>
      <c r="B10" t="s">
        <v>61</v>
      </c>
      <c r="C10" t="s">
        <v>32</v>
      </c>
      <c r="D10">
        <v>1</v>
      </c>
      <c r="E10">
        <v>78</v>
      </c>
      <c r="F10">
        <v>7070981302</v>
      </c>
      <c r="G10" t="s">
        <v>85</v>
      </c>
      <c r="I10">
        <v>78</v>
      </c>
      <c r="J10">
        <v>14.04</v>
      </c>
      <c r="K10">
        <v>0</v>
      </c>
      <c r="L10">
        <v>92.04</v>
      </c>
      <c r="M10" t="s">
        <v>53</v>
      </c>
    </row>
    <row r="11" spans="1:13" x14ac:dyDescent="0.3">
      <c r="A11">
        <v>10</v>
      </c>
      <c r="B11" t="s">
        <v>61</v>
      </c>
      <c r="C11" t="s">
        <v>30</v>
      </c>
      <c r="D11">
        <v>2</v>
      </c>
      <c r="E11">
        <v>40</v>
      </c>
      <c r="F11">
        <v>7070981302</v>
      </c>
      <c r="G11" s="2">
        <v>44446</v>
      </c>
      <c r="I11">
        <v>80</v>
      </c>
      <c r="J11">
        <v>14.4</v>
      </c>
      <c r="K11">
        <v>0</v>
      </c>
      <c r="L11">
        <v>94.4</v>
      </c>
      <c r="M11" t="s">
        <v>53</v>
      </c>
    </row>
    <row r="12" spans="1:13" x14ac:dyDescent="0.3">
      <c r="A12">
        <v>11</v>
      </c>
      <c r="B12" t="s">
        <v>79</v>
      </c>
      <c r="C12" t="s">
        <v>82</v>
      </c>
      <c r="D12" t="s">
        <v>83</v>
      </c>
      <c r="E12" t="s">
        <v>84</v>
      </c>
      <c r="F12">
        <v>7280973456</v>
      </c>
      <c r="G12" s="2">
        <v>45333</v>
      </c>
      <c r="I12">
        <v>196</v>
      </c>
      <c r="J12">
        <v>35.28</v>
      </c>
      <c r="K12">
        <v>0</v>
      </c>
      <c r="L12">
        <v>231.28</v>
      </c>
      <c r="M12" t="s">
        <v>53</v>
      </c>
    </row>
    <row r="13" spans="1:13" x14ac:dyDescent="0.3">
      <c r="A13">
        <v>12</v>
      </c>
      <c r="B13" t="s">
        <v>79</v>
      </c>
      <c r="C13" t="s">
        <v>32</v>
      </c>
      <c r="D13">
        <v>2</v>
      </c>
      <c r="E13">
        <v>78</v>
      </c>
      <c r="F13">
        <v>7280973456</v>
      </c>
      <c r="G13" s="2">
        <v>45373</v>
      </c>
      <c r="I13">
        <v>156</v>
      </c>
      <c r="J13">
        <v>28.08</v>
      </c>
      <c r="K13">
        <v>0</v>
      </c>
      <c r="L13">
        <v>184.08</v>
      </c>
      <c r="M13" t="s">
        <v>53</v>
      </c>
    </row>
    <row r="14" spans="1:13" x14ac:dyDescent="0.3">
      <c r="A14">
        <v>13</v>
      </c>
      <c r="B14" t="s">
        <v>79</v>
      </c>
      <c r="C14" t="s">
        <v>32</v>
      </c>
      <c r="D14">
        <v>1</v>
      </c>
      <c r="E14">
        <v>78</v>
      </c>
      <c r="F14">
        <v>7280973456</v>
      </c>
      <c r="G14" s="2">
        <v>45372</v>
      </c>
      <c r="I14">
        <v>78</v>
      </c>
      <c r="J14">
        <v>14.04</v>
      </c>
      <c r="K14">
        <v>0</v>
      </c>
      <c r="L14">
        <v>92.04</v>
      </c>
      <c r="M14" t="s">
        <v>53</v>
      </c>
    </row>
    <row r="15" spans="1:13" x14ac:dyDescent="0.3">
      <c r="A15">
        <v>14</v>
      </c>
      <c r="B15" t="s">
        <v>61</v>
      </c>
      <c r="C15" t="s">
        <v>32</v>
      </c>
      <c r="D15">
        <v>2</v>
      </c>
      <c r="E15">
        <v>78</v>
      </c>
      <c r="F15">
        <v>7070981302</v>
      </c>
      <c r="G15" s="2">
        <v>45352</v>
      </c>
      <c r="I15">
        <v>156</v>
      </c>
      <c r="J15">
        <v>28.08</v>
      </c>
      <c r="K15">
        <v>0</v>
      </c>
      <c r="L15">
        <v>184.08</v>
      </c>
      <c r="M15" t="s">
        <v>53</v>
      </c>
    </row>
    <row r="16" spans="1:13" x14ac:dyDescent="0.3">
      <c r="A16">
        <v>15</v>
      </c>
      <c r="B16" t="s">
        <v>79</v>
      </c>
      <c r="C16" t="s">
        <v>30</v>
      </c>
      <c r="D16">
        <v>2</v>
      </c>
      <c r="E16">
        <v>40</v>
      </c>
      <c r="F16">
        <v>7280973456</v>
      </c>
      <c r="G16" s="2">
        <v>45374</v>
      </c>
      <c r="I16">
        <v>80</v>
      </c>
      <c r="J16">
        <v>14.4</v>
      </c>
      <c r="K16">
        <v>0</v>
      </c>
      <c r="L16">
        <v>94.4</v>
      </c>
      <c r="M16" t="s">
        <v>54</v>
      </c>
    </row>
    <row r="17" spans="1:13" x14ac:dyDescent="0.3">
      <c r="A17">
        <v>16</v>
      </c>
      <c r="B17" t="s">
        <v>61</v>
      </c>
      <c r="C17" t="s">
        <v>32</v>
      </c>
      <c r="D17">
        <v>2</v>
      </c>
      <c r="E17">
        <v>78</v>
      </c>
      <c r="F17">
        <v>7070981302</v>
      </c>
      <c r="G17" s="2">
        <v>45543</v>
      </c>
      <c r="I17">
        <v>156</v>
      </c>
      <c r="J17">
        <v>28.08</v>
      </c>
      <c r="K17">
        <v>0</v>
      </c>
      <c r="L17">
        <v>184.08</v>
      </c>
      <c r="M17" t="s">
        <v>53</v>
      </c>
    </row>
    <row r="18" spans="1:13" x14ac:dyDescent="0.3">
      <c r="A18">
        <v>17</v>
      </c>
      <c r="B18" t="s">
        <v>79</v>
      </c>
      <c r="C18" t="s">
        <v>32</v>
      </c>
      <c r="D18">
        <v>2</v>
      </c>
      <c r="E18">
        <v>78</v>
      </c>
      <c r="F18">
        <v>7280973456</v>
      </c>
      <c r="G18" s="2">
        <v>45362</v>
      </c>
      <c r="I18">
        <v>156</v>
      </c>
      <c r="J18">
        <v>28.08</v>
      </c>
      <c r="K18">
        <v>0</v>
      </c>
      <c r="L18">
        <v>184.08</v>
      </c>
      <c r="M18" t="s">
        <v>55</v>
      </c>
    </row>
    <row r="19" spans="1:13" x14ac:dyDescent="0.3">
      <c r="A19">
        <v>18</v>
      </c>
      <c r="B19" t="s">
        <v>61</v>
      </c>
      <c r="C19" t="s">
        <v>32</v>
      </c>
      <c r="D19">
        <v>2</v>
      </c>
      <c r="E19">
        <v>78</v>
      </c>
      <c r="F19">
        <v>7070981302</v>
      </c>
      <c r="G19" s="2">
        <v>45352</v>
      </c>
      <c r="I19">
        <v>156</v>
      </c>
      <c r="J19">
        <v>28.08</v>
      </c>
      <c r="K19">
        <v>0</v>
      </c>
      <c r="L19">
        <v>184.08</v>
      </c>
      <c r="M19" t="s">
        <v>53</v>
      </c>
    </row>
    <row r="20" spans="1:13" x14ac:dyDescent="0.3">
      <c r="A20">
        <v>19</v>
      </c>
      <c r="B20" t="s">
        <v>61</v>
      </c>
      <c r="C20" t="s">
        <v>82</v>
      </c>
      <c r="D20" t="s">
        <v>83</v>
      </c>
      <c r="E20" t="s">
        <v>84</v>
      </c>
      <c r="F20">
        <v>7070981302</v>
      </c>
      <c r="G20" s="2">
        <v>45362</v>
      </c>
      <c r="I20">
        <v>196</v>
      </c>
      <c r="J20">
        <v>35.28</v>
      </c>
      <c r="K20">
        <v>0</v>
      </c>
      <c r="L20">
        <v>231.28</v>
      </c>
      <c r="M20" t="s">
        <v>54</v>
      </c>
    </row>
    <row r="21" spans="1:13" x14ac:dyDescent="0.3">
      <c r="A21">
        <v>20</v>
      </c>
      <c r="B21" t="s">
        <v>79</v>
      </c>
      <c r="C21" t="s">
        <v>82</v>
      </c>
      <c r="D21" t="s">
        <v>92</v>
      </c>
      <c r="E21" t="s">
        <v>84</v>
      </c>
      <c r="F21">
        <v>7280973456</v>
      </c>
      <c r="G21" s="2">
        <v>45375</v>
      </c>
      <c r="I21">
        <v>118</v>
      </c>
      <c r="J21">
        <v>21.24</v>
      </c>
      <c r="K21">
        <v>0</v>
      </c>
      <c r="L21">
        <v>139.24</v>
      </c>
      <c r="M21" t="s">
        <v>53</v>
      </c>
    </row>
    <row r="22" spans="1:13" x14ac:dyDescent="0.3">
      <c r="A22">
        <v>21</v>
      </c>
      <c r="B22" t="s">
        <v>61</v>
      </c>
      <c r="C22" t="s">
        <v>82</v>
      </c>
      <c r="D22" t="s">
        <v>93</v>
      </c>
      <c r="E22" t="s">
        <v>84</v>
      </c>
      <c r="F22">
        <v>7070981302</v>
      </c>
      <c r="G22" s="2">
        <v>45366</v>
      </c>
      <c r="I22">
        <v>158</v>
      </c>
      <c r="J22">
        <v>28.44</v>
      </c>
      <c r="K22">
        <v>0</v>
      </c>
      <c r="L22">
        <v>186.44</v>
      </c>
      <c r="M22" t="s">
        <v>53</v>
      </c>
    </row>
    <row r="23" spans="1:13" x14ac:dyDescent="0.3">
      <c r="A23">
        <v>22</v>
      </c>
      <c r="B23" t="s">
        <v>61</v>
      </c>
      <c r="C23" t="s">
        <v>94</v>
      </c>
      <c r="D23" t="s">
        <v>92</v>
      </c>
      <c r="E23" t="s">
        <v>95</v>
      </c>
      <c r="F23">
        <v>7070981302</v>
      </c>
      <c r="G23" s="2">
        <v>45607</v>
      </c>
      <c r="I23">
        <v>118</v>
      </c>
      <c r="J23">
        <v>21.24</v>
      </c>
      <c r="K23">
        <v>0</v>
      </c>
      <c r="L23">
        <v>139.24</v>
      </c>
      <c r="M23" t="s">
        <v>53</v>
      </c>
    </row>
    <row r="24" spans="1:13" x14ac:dyDescent="0.3">
      <c r="A24">
        <v>23</v>
      </c>
      <c r="B24" t="s">
        <v>61</v>
      </c>
      <c r="C24" t="s">
        <v>32</v>
      </c>
      <c r="D24">
        <v>1</v>
      </c>
      <c r="E24">
        <v>78</v>
      </c>
      <c r="F24">
        <v>7070981302</v>
      </c>
      <c r="G24" s="2">
        <v>45616</v>
      </c>
      <c r="I24">
        <v>78</v>
      </c>
      <c r="J24">
        <v>14.04</v>
      </c>
      <c r="K24">
        <v>0</v>
      </c>
      <c r="L24">
        <v>92.04</v>
      </c>
      <c r="M24" t="s">
        <v>53</v>
      </c>
    </row>
    <row r="25" spans="1:13" x14ac:dyDescent="0.3">
      <c r="A25">
        <v>24</v>
      </c>
      <c r="B25" t="s">
        <v>61</v>
      </c>
      <c r="C25" t="s">
        <v>32</v>
      </c>
      <c r="D25">
        <v>1</v>
      </c>
      <c r="E25">
        <v>78</v>
      </c>
      <c r="F25">
        <v>7070981302</v>
      </c>
      <c r="G25" s="2">
        <v>45363</v>
      </c>
      <c r="I25">
        <v>78</v>
      </c>
      <c r="J25">
        <v>14.04</v>
      </c>
      <c r="K25">
        <v>6.4428000000000001</v>
      </c>
      <c r="L25">
        <v>85.597200000000001</v>
      </c>
      <c r="M25" t="s">
        <v>54</v>
      </c>
    </row>
    <row r="26" spans="1:13" x14ac:dyDescent="0.3">
      <c r="A26">
        <v>25</v>
      </c>
      <c r="B26" t="s">
        <v>79</v>
      </c>
      <c r="C26" t="s">
        <v>32</v>
      </c>
      <c r="D26">
        <v>1</v>
      </c>
      <c r="E26">
        <v>78</v>
      </c>
      <c r="F26">
        <v>7280973456</v>
      </c>
      <c r="G26" s="2">
        <v>45363</v>
      </c>
      <c r="I26">
        <v>78</v>
      </c>
      <c r="J26">
        <v>14.04</v>
      </c>
      <c r="K26">
        <v>0</v>
      </c>
      <c r="L26">
        <v>92.04</v>
      </c>
      <c r="M26" t="s">
        <v>53</v>
      </c>
    </row>
    <row r="27" spans="1:13" x14ac:dyDescent="0.3">
      <c r="B27">
        <f>COUNTIF(Customer[Cust_Name],"Ankit")</f>
        <v>1</v>
      </c>
    </row>
    <row r="28" spans="1:13" x14ac:dyDescent="0.3">
      <c r="H28" t="s">
        <v>86</v>
      </c>
    </row>
    <row r="29" spans="1:13" x14ac:dyDescent="0.3">
      <c r="H29" t="s">
        <v>86</v>
      </c>
    </row>
    <row r="30" spans="1:13" x14ac:dyDescent="0.3">
      <c r="H30" t="s">
        <v>86</v>
      </c>
    </row>
    <row r="31" spans="1:13" x14ac:dyDescent="0.3">
      <c r="H31" t="s">
        <v>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59DB-572A-4B77-90B5-59A93D94736F}">
  <sheetPr codeName="Sheet4">
    <tabColor rgb="FF92D050"/>
  </sheetPr>
  <dimension ref="A1:G4"/>
  <sheetViews>
    <sheetView workbookViewId="0">
      <selection activeCell="G4" sqref="G4"/>
    </sheetView>
  </sheetViews>
  <sheetFormatPr defaultRowHeight="14.4" x14ac:dyDescent="0.3"/>
  <cols>
    <col min="1" max="1" width="9.33203125" customWidth="1"/>
    <col min="2" max="2" width="12.5546875" customWidth="1"/>
    <col min="3" max="3" width="11" bestFit="1" customWidth="1"/>
    <col min="4" max="4" width="26.44140625" bestFit="1" customWidth="1"/>
    <col min="5" max="5" width="14.33203125" customWidth="1"/>
    <col min="6" max="6" width="12.33203125" customWidth="1"/>
    <col min="7" max="7" width="18.33203125" style="4" customWidth="1"/>
  </cols>
  <sheetData>
    <row r="1" spans="1:7" x14ac:dyDescent="0.3">
      <c r="A1" s="7" t="s">
        <v>39</v>
      </c>
      <c r="B1" s="7" t="s">
        <v>40</v>
      </c>
      <c r="C1" s="7" t="s">
        <v>4</v>
      </c>
      <c r="D1" s="7" t="s">
        <v>41</v>
      </c>
      <c r="E1" s="7" t="s">
        <v>42</v>
      </c>
      <c r="F1" s="7" t="s">
        <v>43</v>
      </c>
      <c r="G1" s="8" t="s">
        <v>44</v>
      </c>
    </row>
    <row r="2" spans="1:7" x14ac:dyDescent="0.3">
      <c r="A2">
        <v>1</v>
      </c>
      <c r="B2" t="s">
        <v>61</v>
      </c>
      <c r="C2">
        <v>7070981302</v>
      </c>
      <c r="D2" t="s">
        <v>8</v>
      </c>
      <c r="E2" t="s">
        <v>56</v>
      </c>
      <c r="F2" s="2">
        <v>45370</v>
      </c>
      <c r="G2">
        <v>18</v>
      </c>
    </row>
    <row r="3" spans="1:7" x14ac:dyDescent="0.3">
      <c r="A3">
        <v>2</v>
      </c>
      <c r="B3" t="s">
        <v>79</v>
      </c>
      <c r="C3">
        <v>7280973456</v>
      </c>
      <c r="D3" t="s">
        <v>80</v>
      </c>
      <c r="E3" t="s">
        <v>81</v>
      </c>
      <c r="F3" s="2">
        <v>45363</v>
      </c>
      <c r="G3">
        <v>7</v>
      </c>
    </row>
    <row r="4" spans="1:7" x14ac:dyDescent="0.3">
      <c r="F4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65F71-FF3D-4AB5-9F03-1DE33DA6C2B7}">
  <sheetPr codeName="Sheet6"/>
  <dimension ref="A1:M40"/>
  <sheetViews>
    <sheetView showGridLines="0" workbookViewId="0">
      <selection activeCell="L12" sqref="L12"/>
    </sheetView>
  </sheetViews>
  <sheetFormatPr defaultRowHeight="14.4" x14ac:dyDescent="0.3"/>
  <cols>
    <col min="1" max="1" width="6.109375" customWidth="1"/>
    <col min="2" max="2" width="16.109375" customWidth="1"/>
    <col min="3" max="3" width="13.5546875" customWidth="1"/>
    <col min="4" max="4" width="15.33203125" customWidth="1"/>
    <col min="7" max="7" width="8.109375" bestFit="1" customWidth="1"/>
    <col min="8" max="8" width="12.109375" bestFit="1" customWidth="1"/>
  </cols>
  <sheetData>
    <row r="1" spans="1:13" ht="38.4" customHeight="1" x14ac:dyDescent="0.65">
      <c r="A1" s="32" t="s">
        <v>91</v>
      </c>
      <c r="B1" s="32"/>
      <c r="C1" s="32"/>
      <c r="D1" s="32"/>
      <c r="E1" s="32"/>
      <c r="F1" s="32"/>
      <c r="G1" s="32"/>
      <c r="H1" s="32"/>
      <c r="I1" s="32"/>
      <c r="J1" s="13"/>
      <c r="K1" s="13"/>
      <c r="L1" s="13"/>
      <c r="M1" s="13"/>
    </row>
    <row r="2" spans="1:13" ht="15" thickBot="1" x14ac:dyDescent="0.35"/>
    <row r="3" spans="1:13" ht="18" x14ac:dyDescent="0.35">
      <c r="B3" s="11" t="s">
        <v>62</v>
      </c>
      <c r="C3" s="33">
        <v>25</v>
      </c>
      <c r="D3" s="34"/>
    </row>
    <row r="4" spans="1:13" ht="18.600000000000001" thickBot="1" x14ac:dyDescent="0.4">
      <c r="B4" s="12" t="s">
        <v>63</v>
      </c>
      <c r="C4" s="35">
        <v>45363</v>
      </c>
      <c r="D4" s="36"/>
    </row>
    <row r="5" spans="1:13" ht="18" x14ac:dyDescent="0.35">
      <c r="B5" s="10"/>
      <c r="C5" s="37"/>
      <c r="D5" s="25"/>
    </row>
    <row r="7" spans="1:13" ht="18.600000000000001" thickBot="1" x14ac:dyDescent="0.4">
      <c r="B7" s="5" t="s">
        <v>64</v>
      </c>
    </row>
    <row r="8" spans="1:13" ht="16.2" thickTop="1" x14ac:dyDescent="0.3">
      <c r="B8" s="38" t="s">
        <v>79</v>
      </c>
      <c r="C8" s="39"/>
    </row>
    <row r="9" spans="1:13" ht="15.6" x14ac:dyDescent="0.3">
      <c r="B9" s="40">
        <v>7280973456</v>
      </c>
      <c r="C9" s="41"/>
    </row>
    <row r="10" spans="1:13" ht="15.6" x14ac:dyDescent="0.3">
      <c r="B10" s="28" t="s">
        <v>80</v>
      </c>
      <c r="C10" s="29"/>
    </row>
    <row r="11" spans="1:13" ht="25.2" customHeight="1" thickBot="1" x14ac:dyDescent="0.35">
      <c r="B11" s="30" t="s">
        <v>81</v>
      </c>
      <c r="C11" s="31"/>
    </row>
    <row r="12" spans="1:13" ht="15" thickBot="1" x14ac:dyDescent="0.35"/>
    <row r="13" spans="1:13" ht="21" x14ac:dyDescent="0.4">
      <c r="B13" s="27" t="s">
        <v>65</v>
      </c>
      <c r="C13" s="17"/>
      <c r="D13" s="16" t="s">
        <v>66</v>
      </c>
      <c r="E13" s="17" t="s">
        <v>20</v>
      </c>
      <c r="F13" s="17"/>
      <c r="G13" s="17" t="s">
        <v>25</v>
      </c>
      <c r="H13" s="18"/>
    </row>
    <row r="14" spans="1:13" ht="15.6" x14ac:dyDescent="0.3">
      <c r="B14" s="22" t="s">
        <v>32</v>
      </c>
      <c r="C14" s="22"/>
      <c r="D14" s="15">
        <v>1</v>
      </c>
      <c r="E14" s="22">
        <v>78</v>
      </c>
      <c r="F14" s="22"/>
      <c r="G14" s="22">
        <f>IF(OR(ISBLANK(D14),ISBLANK(E14))," ",D14*E14)</f>
        <v>78</v>
      </c>
      <c r="H14" s="22"/>
    </row>
    <row r="15" spans="1:13" ht="15.6" x14ac:dyDescent="0.3">
      <c r="B15" s="22"/>
      <c r="C15" s="22"/>
      <c r="D15" s="15"/>
      <c r="E15" s="22"/>
      <c r="F15" s="22"/>
      <c r="G15" s="22" t="str">
        <f t="shared" ref="G15:G29" si="0">IF(OR(ISBLANK(D15),ISBLANK(E15))," ",D15*E15)</f>
        <v xml:space="preserve"> </v>
      </c>
      <c r="H15" s="22"/>
    </row>
    <row r="16" spans="1:13" ht="15.6" x14ac:dyDescent="0.3">
      <c r="B16" s="22"/>
      <c r="C16" s="22"/>
      <c r="D16" s="15"/>
      <c r="E16" s="22"/>
      <c r="F16" s="22"/>
      <c r="G16" s="22" t="str">
        <f t="shared" si="0"/>
        <v xml:space="preserve"> </v>
      </c>
      <c r="H16" s="22"/>
    </row>
    <row r="17" spans="2:8" ht="15.6" x14ac:dyDescent="0.3">
      <c r="B17" s="22"/>
      <c r="C17" s="22"/>
      <c r="D17" s="15"/>
      <c r="E17" s="22"/>
      <c r="F17" s="22"/>
      <c r="G17" s="22" t="str">
        <f t="shared" si="0"/>
        <v xml:space="preserve"> </v>
      </c>
      <c r="H17" s="22"/>
    </row>
    <row r="18" spans="2:8" ht="15.6" x14ac:dyDescent="0.3">
      <c r="B18" s="22"/>
      <c r="C18" s="22"/>
      <c r="D18" s="15"/>
      <c r="E18" s="22"/>
      <c r="F18" s="22"/>
      <c r="G18" s="22" t="str">
        <f t="shared" si="0"/>
        <v xml:space="preserve"> </v>
      </c>
      <c r="H18" s="22"/>
    </row>
    <row r="19" spans="2:8" ht="15.6" x14ac:dyDescent="0.3">
      <c r="B19" s="22"/>
      <c r="C19" s="22"/>
      <c r="D19" s="15"/>
      <c r="E19" s="22"/>
      <c r="F19" s="22"/>
      <c r="G19" s="22" t="str">
        <f t="shared" si="0"/>
        <v xml:space="preserve"> </v>
      </c>
      <c r="H19" s="22"/>
    </row>
    <row r="20" spans="2:8" ht="15.6" x14ac:dyDescent="0.3">
      <c r="B20" s="22"/>
      <c r="C20" s="22"/>
      <c r="D20" s="15"/>
      <c r="E20" s="22"/>
      <c r="F20" s="22"/>
      <c r="G20" s="22" t="str">
        <f t="shared" si="0"/>
        <v xml:space="preserve"> </v>
      </c>
      <c r="H20" s="22"/>
    </row>
    <row r="21" spans="2:8" ht="15.6" x14ac:dyDescent="0.3">
      <c r="B21" s="22"/>
      <c r="C21" s="22"/>
      <c r="D21" s="15"/>
      <c r="E21" s="22"/>
      <c r="F21" s="22"/>
      <c r="G21" s="22" t="str">
        <f t="shared" si="0"/>
        <v xml:space="preserve"> </v>
      </c>
      <c r="H21" s="22"/>
    </row>
    <row r="22" spans="2:8" ht="15.6" x14ac:dyDescent="0.3">
      <c r="B22" s="22"/>
      <c r="C22" s="22"/>
      <c r="D22" s="15"/>
      <c r="E22" s="22"/>
      <c r="F22" s="22"/>
      <c r="G22" s="22" t="str">
        <f t="shared" si="0"/>
        <v xml:space="preserve"> </v>
      </c>
      <c r="H22" s="22"/>
    </row>
    <row r="23" spans="2:8" ht="15.6" x14ac:dyDescent="0.3">
      <c r="B23" s="22"/>
      <c r="C23" s="22"/>
      <c r="D23" s="15"/>
      <c r="E23" s="22"/>
      <c r="F23" s="22"/>
      <c r="G23" s="22" t="str">
        <f t="shared" si="0"/>
        <v xml:space="preserve"> </v>
      </c>
      <c r="H23" s="22"/>
    </row>
    <row r="24" spans="2:8" ht="15.6" x14ac:dyDescent="0.3">
      <c r="B24" s="22"/>
      <c r="C24" s="22"/>
      <c r="D24" s="15"/>
      <c r="E24" s="22"/>
      <c r="F24" s="22"/>
      <c r="G24" s="22" t="str">
        <f t="shared" si="0"/>
        <v xml:space="preserve"> </v>
      </c>
      <c r="H24" s="22"/>
    </row>
    <row r="25" spans="2:8" ht="15.6" x14ac:dyDescent="0.3">
      <c r="B25" s="22"/>
      <c r="C25" s="22"/>
      <c r="D25" s="15"/>
      <c r="E25" s="22"/>
      <c r="F25" s="22"/>
      <c r="G25" s="22" t="str">
        <f t="shared" si="0"/>
        <v xml:space="preserve"> </v>
      </c>
      <c r="H25" s="22"/>
    </row>
    <row r="26" spans="2:8" ht="15.6" x14ac:dyDescent="0.3">
      <c r="B26" s="22"/>
      <c r="C26" s="22"/>
      <c r="D26" s="15"/>
      <c r="E26" s="22"/>
      <c r="F26" s="22"/>
      <c r="G26" s="22" t="str">
        <f t="shared" si="0"/>
        <v xml:space="preserve"> </v>
      </c>
      <c r="H26" s="22"/>
    </row>
    <row r="27" spans="2:8" ht="15.6" x14ac:dyDescent="0.3">
      <c r="B27" s="22"/>
      <c r="C27" s="22"/>
      <c r="D27" s="15"/>
      <c r="E27" s="22"/>
      <c r="F27" s="22"/>
      <c r="G27" s="22" t="str">
        <f t="shared" si="0"/>
        <v xml:space="preserve"> </v>
      </c>
      <c r="H27" s="22"/>
    </row>
    <row r="28" spans="2:8" ht="15.6" x14ac:dyDescent="0.3">
      <c r="B28" s="22"/>
      <c r="C28" s="22"/>
      <c r="D28" s="15"/>
      <c r="E28" s="22"/>
      <c r="F28" s="22"/>
      <c r="G28" s="22" t="str">
        <f t="shared" si="0"/>
        <v xml:space="preserve"> </v>
      </c>
      <c r="H28" s="22"/>
    </row>
    <row r="29" spans="2:8" ht="15.6" x14ac:dyDescent="0.3">
      <c r="B29" s="22"/>
      <c r="C29" s="22"/>
      <c r="D29" s="15"/>
      <c r="E29" s="22"/>
      <c r="F29" s="22"/>
      <c r="G29" s="22" t="str">
        <f t="shared" si="0"/>
        <v xml:space="preserve"> </v>
      </c>
      <c r="H29" s="22"/>
    </row>
    <row r="30" spans="2:8" ht="15.6" x14ac:dyDescent="0.3">
      <c r="B30" s="15"/>
      <c r="C30" s="15"/>
      <c r="D30" s="15"/>
      <c r="E30" s="15"/>
      <c r="F30" s="15"/>
      <c r="G30" s="15"/>
      <c r="H30" s="15"/>
    </row>
    <row r="31" spans="2:8" x14ac:dyDescent="0.3">
      <c r="B31" s="25"/>
      <c r="C31" s="25"/>
      <c r="D31" s="25"/>
      <c r="F31" s="26"/>
      <c r="G31" s="26"/>
      <c r="H31" s="26"/>
    </row>
    <row r="32" spans="2:8" x14ac:dyDescent="0.3">
      <c r="B32" s="25"/>
      <c r="C32" s="25"/>
      <c r="D32" s="25"/>
      <c r="F32" s="25" t="s">
        <v>68</v>
      </c>
      <c r="G32" s="25"/>
      <c r="H32">
        <v>78</v>
      </c>
    </row>
    <row r="33" spans="2:8" x14ac:dyDescent="0.3">
      <c r="B33" s="25"/>
      <c r="C33" s="25"/>
      <c r="D33" s="25"/>
      <c r="F33" s="25" t="s">
        <v>69</v>
      </c>
      <c r="G33" s="25"/>
      <c r="H33">
        <v>14.04</v>
      </c>
    </row>
    <row r="34" spans="2:8" x14ac:dyDescent="0.3">
      <c r="B34" s="25"/>
      <c r="C34" s="25"/>
      <c r="D34" s="25"/>
      <c r="F34" s="23" t="s">
        <v>67</v>
      </c>
      <c r="G34" s="23"/>
      <c r="H34">
        <v>0</v>
      </c>
    </row>
    <row r="35" spans="2:8" ht="15" thickBot="1" x14ac:dyDescent="0.35">
      <c r="B35" s="25"/>
      <c r="C35" s="25"/>
      <c r="D35" s="25"/>
      <c r="F35" s="24" t="s">
        <v>70</v>
      </c>
      <c r="G35" s="24"/>
      <c r="H35" s="9">
        <v>92.04</v>
      </c>
    </row>
    <row r="37" spans="2:8" x14ac:dyDescent="0.3">
      <c r="B37" s="21" t="s">
        <v>87</v>
      </c>
      <c r="C37" s="21"/>
      <c r="D37" s="21"/>
      <c r="E37" s="21" t="s">
        <v>90</v>
      </c>
      <c r="F37" s="21"/>
      <c r="G37" s="21" t="s">
        <v>53</v>
      </c>
      <c r="H37" s="21"/>
    </row>
    <row r="38" spans="2:8" x14ac:dyDescent="0.3">
      <c r="B38" s="19" t="s">
        <v>88</v>
      </c>
      <c r="C38" s="19"/>
      <c r="D38" s="19"/>
    </row>
    <row r="39" spans="2:8" x14ac:dyDescent="0.3">
      <c r="B39" s="19" t="s">
        <v>89</v>
      </c>
      <c r="C39" s="19"/>
      <c r="D39" s="19"/>
    </row>
    <row r="40" spans="2:8" x14ac:dyDescent="0.3">
      <c r="B40" s="20">
        <v>8591275316</v>
      </c>
      <c r="C40" s="20"/>
      <c r="D40" s="20"/>
    </row>
  </sheetData>
  <mergeCells count="75">
    <mergeCell ref="B10:C10"/>
    <mergeCell ref="B11:C11"/>
    <mergeCell ref="A1:I1"/>
    <mergeCell ref="C3:D3"/>
    <mergeCell ref="C4:D4"/>
    <mergeCell ref="C5:D5"/>
    <mergeCell ref="B8:C8"/>
    <mergeCell ref="B9:C9"/>
    <mergeCell ref="B37:D37"/>
    <mergeCell ref="B13:C13"/>
    <mergeCell ref="B32:D32"/>
    <mergeCell ref="B33:D33"/>
    <mergeCell ref="B34:D34"/>
    <mergeCell ref="B35:D35"/>
    <mergeCell ref="B31:D31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F32:G32"/>
    <mergeCell ref="F33:G33"/>
    <mergeCell ref="E27:F27"/>
    <mergeCell ref="E28:F28"/>
    <mergeCell ref="E29:F29"/>
    <mergeCell ref="G29:H29"/>
    <mergeCell ref="F31:H31"/>
    <mergeCell ref="F34:G34"/>
    <mergeCell ref="F35:G35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G14:H14"/>
    <mergeCell ref="G15:H15"/>
    <mergeCell ref="G16:H16"/>
    <mergeCell ref="G17:H17"/>
    <mergeCell ref="G18:H18"/>
    <mergeCell ref="G13:H13"/>
    <mergeCell ref="B38:D38"/>
    <mergeCell ref="B39:D39"/>
    <mergeCell ref="B40:D40"/>
    <mergeCell ref="E37:F37"/>
    <mergeCell ref="G37:H37"/>
    <mergeCell ref="G24:H24"/>
    <mergeCell ref="G25:H25"/>
    <mergeCell ref="G26:H26"/>
    <mergeCell ref="G27:H27"/>
    <mergeCell ref="G28:H28"/>
    <mergeCell ref="G19:H19"/>
    <mergeCell ref="G20:H20"/>
    <mergeCell ref="G21:H21"/>
    <mergeCell ref="G22:H22"/>
    <mergeCell ref="G23:H23"/>
  </mergeCells>
  <pageMargins left="0.39370078740157483" right="0.39370078740157483" top="0.78740157480314965" bottom="0.39370078740157483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A1A67-7AF8-4C14-BAC5-B796048C3540}">
  <sheetPr codeName="Sheet5"/>
  <dimension ref="A1:A4"/>
  <sheetViews>
    <sheetView workbookViewId="0">
      <selection activeCell="H17" sqref="H17"/>
    </sheetView>
  </sheetViews>
  <sheetFormatPr defaultRowHeight="14.4" x14ac:dyDescent="0.3"/>
  <cols>
    <col min="1" max="1" width="15.6640625" bestFit="1" customWidth="1"/>
  </cols>
  <sheetData>
    <row r="1" spans="1:1" x14ac:dyDescent="0.3">
      <c r="A1" t="s">
        <v>52</v>
      </c>
    </row>
    <row r="2" spans="1:1" x14ac:dyDescent="0.3">
      <c r="A2" t="s">
        <v>53</v>
      </c>
    </row>
    <row r="3" spans="1:1" x14ac:dyDescent="0.3">
      <c r="A3" t="s">
        <v>54</v>
      </c>
    </row>
    <row r="4" spans="1:1" x14ac:dyDescent="0.3">
      <c r="A4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Log_In</vt:lpstr>
      <vt:lpstr>SignUp</vt:lpstr>
      <vt:lpstr>Medicine_Section</vt:lpstr>
      <vt:lpstr>Invoice</vt:lpstr>
      <vt:lpstr>Customer</vt:lpstr>
      <vt:lpstr>Print_Out</vt:lpstr>
      <vt:lpstr>Sheet3</vt:lpstr>
      <vt:lpstr>Payment_Method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Pandey</dc:creator>
  <cp:lastModifiedBy>kutesumedh388@outlook.com</cp:lastModifiedBy>
  <cp:lastPrinted>2024-03-24T08:34:08Z</cp:lastPrinted>
  <dcterms:created xsi:type="dcterms:W3CDTF">2024-03-14T18:30:41Z</dcterms:created>
  <dcterms:modified xsi:type="dcterms:W3CDTF">2024-12-15T05:58:31Z</dcterms:modified>
</cp:coreProperties>
</file>